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shwa\OneDrive\Desktop\"/>
    </mc:Choice>
  </mc:AlternateContent>
  <bookViews>
    <workbookView minimized="1" xWindow="0" yWindow="0" windowWidth="19200" windowHeight="6930" activeTab="3"/>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<sst xmlns="http://schemas.openxmlformats.org/spreadsheetml/2006/main" count="16483" uniqueCount="53">
  <si>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</si>
  <si>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</si>
  <si>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</si>
  <si>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</si>
  <si>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</si>
  <si>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</si>
  <si>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</si>
  <si>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</si>
  <si>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</si>
  <si>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</si>
  <si>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</si>
  <si>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</si>
  <si>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</si>
  <si>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</si>
  <si>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</si>
  <si>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</si>
  <si>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</si>
  <si>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</si>
  <si>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</si>
  <si>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</si>
  <si>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</si>
  <si>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</si>
  <si>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</si>
  <si>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</si>
  <si>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</si>
  <si>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</si>
  <si>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</si>
  <si>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</si>
  <si>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</si>
  <si>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</si>
  <si>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</si>
  <si>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</si>
  <si>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</si>
  <si>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</si>
  <si>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</si>
  <si>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</si>
  <si>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</si>
  <si>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</si>
  <si>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</si>
  <si>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</si>
  <si>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</si>
  <si>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</si>
  <si>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</si>
  <si>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</si>
  <si>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</si>
  <si>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</si>
  <si>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</si>
  <si>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</si>
  <si>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Aged</t>
  </si>
  <si>
    <t>Old</t>
  </si>
  <si>
    <t>hfhggh</t>
  </si>
  <si>
    <t>Bike Sales Dashboard</t>
  </si>
  <si>
    <t>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</si>
</sst>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 formatCode="0"/>
    </dxf>
    <dxf>
      <numFmt numFmtId="167" formatCode="0.0"/>
    </dxf>
    <dxf>
      <numFmt numFmtId="2" formatCode="0.00"/>
    </dxf>
    <dxf>
      <numFmt numFmtId="166"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48125</c:v>
                </c:pt>
                <c:pt idx="1">
                  <c:v>46000</c:v>
                </c:pt>
              </c:numCache>
            </c:numRef>
          </c:val>
          <c:extLst>
            <c:ext xmlns:c16="http://schemas.microsoft.com/office/drawing/2014/chart" uri="{C3380CC4-5D6E-409C-BE32-E72D297353CC}">
              <c16:uniqueId val="{00000000-C573-4AFE-8015-FA40D8B1F81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50000</c:v>
                </c:pt>
                <c:pt idx="1">
                  <c:v>53750</c:v>
                </c:pt>
              </c:numCache>
            </c:numRef>
          </c:val>
          <c:extLst>
            <c:ext xmlns:c16="http://schemas.microsoft.com/office/drawing/2014/chart" uri="{C3380CC4-5D6E-409C-BE32-E72D297353CC}">
              <c16:uniqueId val="{00000001-C573-4AFE-8015-FA40D8B1F81C}"/>
            </c:ext>
          </c:extLst>
        </c:ser>
        <c:dLbls>
          <c:showLegendKey val="0"/>
          <c:showVal val="0"/>
          <c:showCatName val="0"/>
          <c:showSerName val="0"/>
          <c:showPercent val="0"/>
          <c:showBubbleSize val="0"/>
        </c:dLbls>
        <c:gapWidth val="219"/>
        <c:overlap val="-27"/>
        <c:axId val="210185503"/>
        <c:axId val="210183839"/>
      </c:barChart>
      <c:catAx>
        <c:axId val="210185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0345013123359585"/>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3839"/>
        <c:crosses val="autoZero"/>
        <c:auto val="1"/>
        <c:lblAlgn val="ctr"/>
        <c:lblOffset val="100"/>
        <c:noMultiLvlLbl val="0"/>
      </c:catAx>
      <c:valAx>
        <c:axId val="21018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5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8D1D-4D80-8276-F46F078086B1}"/>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8D1D-4D80-8276-F46F078086B1}"/>
            </c:ext>
          </c:extLst>
        </c:ser>
        <c:dLbls>
          <c:showLegendKey val="0"/>
          <c:showVal val="0"/>
          <c:showCatName val="0"/>
          <c:showSerName val="0"/>
          <c:showPercent val="0"/>
          <c:showBubbleSize val="0"/>
        </c:dLbls>
        <c:smooth val="0"/>
        <c:axId val="189131967"/>
        <c:axId val="614997407"/>
      </c:lineChart>
      <c:catAx>
        <c:axId val="189131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997407"/>
        <c:crosses val="autoZero"/>
        <c:auto val="1"/>
        <c:lblAlgn val="ctr"/>
        <c:lblOffset val="100"/>
        <c:noMultiLvlLbl val="0"/>
      </c:catAx>
      <c:valAx>
        <c:axId val="61499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3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table'!$A$45:$A$49</c:f>
              <c:strCache>
                <c:ptCount val="4"/>
                <c:pt idx="0">
                  <c:v>Adolescent</c:v>
                </c:pt>
                <c:pt idx="1">
                  <c:v>Invalid</c:v>
                </c:pt>
                <c:pt idx="2">
                  <c:v>Middle Aged</c:v>
                </c:pt>
                <c:pt idx="3">
                  <c:v>Old</c:v>
                </c:pt>
              </c:strCache>
            </c:strRef>
          </c:cat>
          <c:val>
            <c:numRef>
              <c:f>'Pivot table'!$B$45:$B$49</c:f>
              <c:numCache>
                <c:formatCode>General</c:formatCode>
                <c:ptCount val="4"/>
                <c:pt idx="0">
                  <c:v>6</c:v>
                </c:pt>
                <c:pt idx="1">
                  <c:v>1</c:v>
                </c:pt>
                <c:pt idx="2">
                  <c:v>27</c:v>
                </c:pt>
                <c:pt idx="3">
                  <c:v>7</c:v>
                </c:pt>
              </c:numCache>
            </c:numRef>
          </c:val>
          <c:smooth val="0"/>
          <c:extLst>
            <c:ext xmlns:c16="http://schemas.microsoft.com/office/drawing/2014/chart" uri="{C3380CC4-5D6E-409C-BE32-E72D297353CC}">
              <c16:uniqueId val="{00000000-F5B9-4818-B3E8-248895DDE211}"/>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table'!$A$45:$A$49</c:f>
              <c:strCache>
                <c:ptCount val="4"/>
                <c:pt idx="0">
                  <c:v>Adolescent</c:v>
                </c:pt>
                <c:pt idx="1">
                  <c:v>Invalid</c:v>
                </c:pt>
                <c:pt idx="2">
                  <c:v>Middle Aged</c:v>
                </c:pt>
                <c:pt idx="3">
                  <c:v>Old</c:v>
                </c:pt>
              </c:strCache>
            </c:strRef>
          </c:cat>
          <c:val>
            <c:numRef>
              <c:f>'Pivot table'!$C$45:$C$49</c:f>
              <c:numCache>
                <c:formatCode>General</c:formatCode>
                <c:ptCount val="4"/>
                <c:pt idx="0">
                  <c:v>4</c:v>
                </c:pt>
                <c:pt idx="2">
                  <c:v>13</c:v>
                </c:pt>
                <c:pt idx="3">
                  <c:v>2</c:v>
                </c:pt>
              </c:numCache>
            </c:numRef>
          </c:val>
          <c:smooth val="0"/>
          <c:extLst>
            <c:ext xmlns:c16="http://schemas.microsoft.com/office/drawing/2014/chart" uri="{C3380CC4-5D6E-409C-BE32-E72D297353CC}">
              <c16:uniqueId val="{00000001-F5B9-4818-B3E8-248895DDE211}"/>
            </c:ext>
          </c:extLst>
        </c:ser>
        <c:dLbls>
          <c:showLegendKey val="0"/>
          <c:showVal val="0"/>
          <c:showCatName val="0"/>
          <c:showSerName val="0"/>
          <c:showPercent val="0"/>
          <c:showBubbleSize val="0"/>
        </c:dLbls>
        <c:marker val="1"/>
        <c:smooth val="0"/>
        <c:axId val="620606047"/>
        <c:axId val="620605215"/>
      </c:lineChart>
      <c:catAx>
        <c:axId val="620606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605215"/>
        <c:crosses val="autoZero"/>
        <c:auto val="1"/>
        <c:lblAlgn val="ctr"/>
        <c:lblOffset val="100"/>
        <c:noMultiLvlLbl val="0"/>
      </c:catAx>
      <c:valAx>
        <c:axId val="62060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60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48125</c:v>
                </c:pt>
                <c:pt idx="1">
                  <c:v>46000</c:v>
                </c:pt>
              </c:numCache>
            </c:numRef>
          </c:val>
          <c:extLst>
            <c:ext xmlns:c16="http://schemas.microsoft.com/office/drawing/2014/chart" uri="{C3380CC4-5D6E-409C-BE32-E72D297353CC}">
              <c16:uniqueId val="{00000000-6E8A-4288-B385-4936641B9FD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50000</c:v>
                </c:pt>
                <c:pt idx="1">
                  <c:v>53750</c:v>
                </c:pt>
              </c:numCache>
            </c:numRef>
          </c:val>
          <c:extLst>
            <c:ext xmlns:c16="http://schemas.microsoft.com/office/drawing/2014/chart" uri="{C3380CC4-5D6E-409C-BE32-E72D297353CC}">
              <c16:uniqueId val="{00000001-6E8A-4288-B385-4936641B9FD5}"/>
            </c:ext>
          </c:extLst>
        </c:ser>
        <c:dLbls>
          <c:showLegendKey val="0"/>
          <c:showVal val="0"/>
          <c:showCatName val="0"/>
          <c:showSerName val="0"/>
          <c:showPercent val="0"/>
          <c:showBubbleSize val="0"/>
        </c:dLbls>
        <c:gapWidth val="219"/>
        <c:overlap val="-27"/>
        <c:axId val="210185503"/>
        <c:axId val="210183839"/>
      </c:barChart>
      <c:catAx>
        <c:axId val="210185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0345013123359585"/>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3839"/>
        <c:crosses val="autoZero"/>
        <c:auto val="1"/>
        <c:lblAlgn val="ctr"/>
        <c:lblOffset val="100"/>
        <c:noMultiLvlLbl val="0"/>
      </c:catAx>
      <c:valAx>
        <c:axId val="210183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55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layout>
        <c:manualLayout>
          <c:xMode val="edge"/>
          <c:yMode val="edge"/>
          <c:x val="0.31072149804881788"/>
          <c:y val="0.15099616421778314"/>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3-E8C2-4DF0-966A-3313F5B4BD12}"/>
            </c:ext>
          </c:extLst>
        </c:ser>
        <c:ser>
          <c:idx val="1"/>
          <c:order val="1"/>
          <c:tx>
            <c:strRef>
              <c:f>'Pivot 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5-E8C2-4DF0-966A-3313F5B4BD12}"/>
            </c:ext>
          </c:extLst>
        </c:ser>
        <c:dLbls>
          <c:showLegendKey val="0"/>
          <c:showVal val="0"/>
          <c:showCatName val="0"/>
          <c:showSerName val="0"/>
          <c:showPercent val="0"/>
          <c:showBubbleSize val="0"/>
        </c:dLbls>
        <c:marker val="1"/>
        <c:smooth val="0"/>
        <c:axId val="620606047"/>
        <c:axId val="620605215"/>
      </c:lineChart>
      <c:catAx>
        <c:axId val="620606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605215"/>
        <c:crosses val="autoZero"/>
        <c:auto val="1"/>
        <c:lblAlgn val="ctr"/>
        <c:lblOffset val="100"/>
        <c:noMultiLvlLbl val="0"/>
      </c:catAx>
      <c:valAx>
        <c:axId val="62060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606047"/>
        <c:crosses val="autoZero"/>
        <c:crossBetween val="between"/>
      </c:valAx>
    </c:plotArea>
    <c:legend>
      <c:legendPos val="r"/>
      <c:layout>
        <c:manualLayout>
          <c:xMode val="edge"/>
          <c:yMode val="edge"/>
          <c:x val="0.74176461065242028"/>
          <c:y val="0.43872951986951508"/>
          <c:w val="0.2417872753763963"/>
          <c:h val="0.266619675622649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Custom Age Brackets</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pivotFmt>
      <c:pivotFmt>
        <c:idx val="7"/>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pivotFmt>
      <c:pivotFmt>
        <c:idx val="8"/>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9"/>
        <c:spPr>
          <a:ln w="22225" cap="rnd">
            <a:solidFill>
              <a:schemeClr val="accent1"/>
            </a:solidFill>
            <a:round/>
          </a:ln>
          <a:effectLst/>
        </c:spPr>
        <c:marker>
          <c:symbol val="square"/>
          <c:size val="6"/>
          <c:spPr>
            <a:solidFill>
              <a:schemeClr val="accent2"/>
            </a:solidFill>
            <a:ln w="9525">
              <a:solidFill>
                <a:schemeClr val="accent2"/>
              </a:solidFill>
              <a:round/>
            </a:ln>
            <a:effectLst/>
          </c:spPr>
        </c:marker>
      </c:pivotFmt>
    </c:pivotFmts>
    <c:plotArea>
      <c:layout/>
      <c:lineChart>
        <c:grouping val="standard"/>
        <c:varyColors val="0"/>
        <c:ser>
          <c:idx val="0"/>
          <c:order val="0"/>
          <c:tx>
            <c:strRef>
              <c:f>'Pivot table'!$B$43:$B$44</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table'!$A$45:$A$49</c:f>
              <c:strCache>
                <c:ptCount val="4"/>
                <c:pt idx="0">
                  <c:v>Adolescent</c:v>
                </c:pt>
                <c:pt idx="1">
                  <c:v>Invalid</c:v>
                </c:pt>
                <c:pt idx="2">
                  <c:v>Middle Aged</c:v>
                </c:pt>
                <c:pt idx="3">
                  <c:v>Old</c:v>
                </c:pt>
              </c:strCache>
            </c:strRef>
          </c:cat>
          <c:val>
            <c:numRef>
              <c:f>'Pivot table'!$B$45:$B$49</c:f>
              <c:numCache>
                <c:formatCode>General</c:formatCode>
                <c:ptCount val="4"/>
                <c:pt idx="0">
                  <c:v>6</c:v>
                </c:pt>
                <c:pt idx="1">
                  <c:v>1</c:v>
                </c:pt>
                <c:pt idx="2">
                  <c:v>27</c:v>
                </c:pt>
                <c:pt idx="3">
                  <c:v>7</c:v>
                </c:pt>
              </c:numCache>
            </c:numRef>
          </c:val>
          <c:smooth val="0"/>
          <c:extLst>
            <c:ext xmlns:c16="http://schemas.microsoft.com/office/drawing/2014/chart" uri="{C3380CC4-5D6E-409C-BE32-E72D297353CC}">
              <c16:uniqueId val="{00000000-744C-41D9-9926-860C96E6F338}"/>
            </c:ext>
          </c:extLst>
        </c:ser>
        <c:ser>
          <c:idx val="1"/>
          <c:order val="1"/>
          <c:tx>
            <c:strRef>
              <c:f>'Pivot table'!$C$43:$C$44</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table'!$A$45:$A$49</c:f>
              <c:strCache>
                <c:ptCount val="4"/>
                <c:pt idx="0">
                  <c:v>Adolescent</c:v>
                </c:pt>
                <c:pt idx="1">
                  <c:v>Invalid</c:v>
                </c:pt>
                <c:pt idx="2">
                  <c:v>Middle Aged</c:v>
                </c:pt>
                <c:pt idx="3">
                  <c:v>Old</c:v>
                </c:pt>
              </c:strCache>
            </c:strRef>
          </c:cat>
          <c:val>
            <c:numRef>
              <c:f>'Pivot table'!$C$45:$C$49</c:f>
              <c:numCache>
                <c:formatCode>General</c:formatCode>
                <c:ptCount val="4"/>
                <c:pt idx="0">
                  <c:v>4</c:v>
                </c:pt>
                <c:pt idx="2">
                  <c:v>13</c:v>
                </c:pt>
                <c:pt idx="3">
                  <c:v>2</c:v>
                </c:pt>
              </c:numCache>
            </c:numRef>
          </c:val>
          <c:smooth val="0"/>
          <c:extLst>
            <c:ext xmlns:c16="http://schemas.microsoft.com/office/drawing/2014/chart" uri="{C3380CC4-5D6E-409C-BE32-E72D297353CC}">
              <c16:uniqueId val="{00000001-744C-41D9-9926-860C96E6F338}"/>
            </c:ext>
          </c:extLst>
        </c:ser>
        <c:dLbls>
          <c:showLegendKey val="0"/>
          <c:showVal val="0"/>
          <c:showCatName val="0"/>
          <c:showSerName val="0"/>
          <c:showPercent val="0"/>
          <c:showBubbleSize val="0"/>
        </c:dLbls>
        <c:marker val="1"/>
        <c:smooth val="0"/>
        <c:axId val="620606047"/>
        <c:axId val="620605215"/>
      </c:lineChart>
      <c:catAx>
        <c:axId val="620606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Age Bracket</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20605215"/>
        <c:crosses val="autoZero"/>
        <c:auto val="1"/>
        <c:lblAlgn val="ctr"/>
        <c:lblOffset val="100"/>
        <c:noMultiLvlLbl val="0"/>
      </c:catAx>
      <c:valAx>
        <c:axId val="620605215"/>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6060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898525</xdr:colOff>
      <xdr:row>5</xdr:row>
      <xdr:rowOff>79375</xdr:rowOff>
    </xdr:from>
    <xdr:to>
      <xdr:col>8</xdr:col>
      <xdr:colOff>314325</xdr:colOff>
      <xdr:row>20</xdr:row>
      <xdr:rowOff>60325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206375</xdr:colOff>
      <xdr:row>25</xdr:row>
      <xdr:rowOff>130175</xdr:rowOff>
    </xdr:from>
    <xdr:to>
      <xdr:col>11</xdr:col>
      <xdr:colOff>511175</xdr:colOff>
      <xdr:row>40</xdr:row>
      <xdr:rowOff>111125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200025</xdr:colOff>
      <xdr:row>49</xdr:row>
      <xdr:rowOff>15875</xdr:rowOff>
    </xdr:from>
    <xdr:to>
      <xdr:col>10</xdr:col>
      <xdr:colOff>365125</xdr:colOff>
      <xdr:row>63</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xdr:row>
      <xdr:rowOff>0</xdr:rowOff>
    </xdr:from>
    <xdr:to>
      <xdr:col>9</xdr:col>
      <xdr:colOff>454798</xdr:colOff>
      <xdr:row>18</xdr:row>
      <xdr:rowOff>137298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404172</xdr:colOff>
      <xdr:row>5</xdr:row>
      <xdr:rowOff>0</xdr:rowOff>
    </xdr:from>
    <xdr:to>
      <xdr:col>16</xdr:col>
      <xdr:colOff>0</xdr:colOff>
      <xdr:row>18</xdr:row>
      <xdr:rowOff>120135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599588</xdr:colOff>
      <xdr:row>18</xdr:row>
      <xdr:rowOff>108488</xdr:rowOff>
    </xdr:from>
    <xdr:to>
      <xdr:col>16</xdr:col>
      <xdr:colOff>0</xdr:colOff>
      <xdr:row>33</xdr:row>
      <xdr:rowOff>89437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0</xdr:rowOff>
    </xdr:from>
    <xdr:to>
      <xdr:col>3</xdr:col>
      <xdr:colOff>0</xdr:colOff>
      <xdr:row>10</xdr:row>
      <xdr:rowOff>0</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28077"/>
              <a:ext cx="1817077" cy="928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178917</xdr:rowOff>
    </xdr:from>
    <xdr:to>
      <xdr:col>3</xdr:col>
      <xdr:colOff>1030</xdr:colOff>
      <xdr:row>27</xdr:row>
      <xdr:rowOff>1</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48763"/>
              <a:ext cx="1818107" cy="1862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0</xdr:rowOff>
    </xdr:from>
    <xdr:to>
      <xdr:col>3</xdr:col>
      <xdr:colOff>1030</xdr:colOff>
      <xdr:row>17</xdr:row>
      <xdr:rowOff>0</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56154"/>
              <a:ext cx="1818107" cy="1299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hwath S" refreshedDate="46115.719301967591" createdVersion="6" refreshedVersion="6" minRefreshableVersion="3" recordCount="1026">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d"/>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3"/>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3"/>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3"/>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3"/>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3"/>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3"/>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3"/>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3"/>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3"/>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3"/>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3"/>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3"/>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3"/>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3"/>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3"/>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3"/>
    <x v="1"/>
  </r>
  <r>
    <n v="29106"/>
    <x v="1"/>
    <x v="1"/>
    <n v="40000"/>
    <n v="0"/>
    <x v="2"/>
    <s v="Skilled Manual"/>
    <s v="No"/>
    <n v="2"/>
    <x v="3"/>
    <x v="2"/>
    <x v="23"/>
    <x v="3"/>
    <x v="1"/>
  </r>
  <r>
    <n v="26236"/>
    <x v="0"/>
    <x v="0"/>
    <n v="40000"/>
    <n v="3"/>
    <x v="1"/>
    <s v="Clerical"/>
    <s v="Yes"/>
    <n v="1"/>
    <x v="0"/>
    <x v="2"/>
    <x v="23"/>
    <x v="3"/>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3"/>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3"/>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3"/>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3"/>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3"/>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3"/>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3"/>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3"/>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3:D49"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5">
        <item x="2"/>
        <item x="3"/>
        <item x="0"/>
        <item x="1"/>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4:D31"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4">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71:D9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2"/>
        <item x="3"/>
        <item x="0"/>
        <item x="1"/>
        <item t="default"/>
      </items>
    </pivotField>
    <pivotField axis="axisCol" dataField="1" showAll="0">
      <items count="3">
        <item x="0"/>
        <item x="1"/>
        <item t="default"/>
      </items>
    </pivotField>
  </pivotFields>
  <rowFields count="1">
    <field x="11"/>
  </rowFields>
  <rowItems count="25">
    <i>
      <x v="1"/>
    </i>
    <i>
      <x v="2"/>
    </i>
    <i>
      <x v="3"/>
    </i>
    <i>
      <x v="4"/>
    </i>
    <i>
      <x v="5"/>
    </i>
    <i>
      <x v="6"/>
    </i>
    <i>
      <x v="7"/>
    </i>
    <i>
      <x v="18"/>
    </i>
    <i>
      <x v="19"/>
    </i>
    <i>
      <x v="20"/>
    </i>
    <i>
      <x v="21"/>
    </i>
    <i>
      <x v="23"/>
    </i>
    <i>
      <x v="24"/>
    </i>
    <i>
      <x v="25"/>
    </i>
    <i>
      <x v="26"/>
    </i>
    <i>
      <x v="27"/>
    </i>
    <i>
      <x v="28"/>
    </i>
    <i>
      <x v="29"/>
    </i>
    <i>
      <x v="30"/>
    </i>
    <i>
      <x v="34"/>
    </i>
    <i>
      <x v="35"/>
    </i>
    <i>
      <x v="36"/>
    </i>
    <i>
      <x v="39"/>
    </i>
    <i>
      <x v="44"/>
    </i>
    <i t="grand">
      <x/>
    </i>
  </rowItems>
  <colFields count="1">
    <field x="13"/>
  </colFields>
  <colItems count="3">
    <i>
      <x/>
    </i>
    <i>
      <x v="1"/>
    </i>
    <i t="grand">
      <x/>
    </i>
  </colItems>
  <dataFields count="1">
    <dataField name="hfhggh"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zoomScale="85" workbookViewId="0">
      <selection activeCell="P7" sqref="P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zoomScale="85" workbookViewId="0">
      <selection activeCell="J1" sqref="J1:J1048576"/>
    </sheetView>
  </sheetViews>
  <sheetFormatPr defaultRowHeight="14.5" x14ac:dyDescent="0.35"/>
  <cols>
    <col min="2" max="2" width="16.7265625" customWidth="1"/>
    <col min="3" max="3" width="11.7265625" customWidth="1"/>
    <col min="4" max="4" width="19.54296875" customWidth="1"/>
    <col min="5" max="5" width="14.26953125" customWidth="1"/>
    <col min="6" max="6" width="20.08984375" customWidth="1"/>
    <col min="7" max="7" width="16.81640625" customWidth="1"/>
    <col min="10" max="10" width="12.1796875" customWidth="1"/>
    <col min="13" max="13" width="16.6328125" customWidth="1"/>
    <col min="14" max="14" width="16"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IF(L2&gt;55,"Old",IF(L2&gt;31,"Middle Aged",IF(L2&lt;31,"Adolescent","Invalid")))</f>
        <v>Middle Aged</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IF(L3&gt;55,"Old",IF(L3&gt;31,"Middle Aged",IF(L3&lt;31,"Adolescent","Invalid")))</f>
        <v>Middle Aged</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Aged</v>
      </c>
      <c r="N5" t="s">
        <v>15</v>
      </c>
    </row>
    <row r="6" spans="1:14" x14ac:dyDescent="0.35">
      <c r="A6">
        <v>25597</v>
      </c>
      <c r="B6" t="s">
        <v>37</v>
      </c>
      <c r="C6" t="s">
        <v>38</v>
      </c>
      <c r="D6" s="3">
        <v>30000</v>
      </c>
      <c r="E6">
        <v>0</v>
      </c>
      <c r="F6" t="s">
        <v>13</v>
      </c>
      <c r="G6" t="s">
        <v>20</v>
      </c>
      <c r="H6" t="s">
        <v>18</v>
      </c>
      <c r="I6">
        <v>0</v>
      </c>
      <c r="J6" t="s">
        <v>16</v>
      </c>
      <c r="K6" t="s">
        <v>17</v>
      </c>
      <c r="L6">
        <v>36</v>
      </c>
      <c r="M6" t="str">
        <f t="shared" si="0"/>
        <v>Middle Aged</v>
      </c>
      <c r="N6" t="s">
        <v>15</v>
      </c>
    </row>
    <row r="7" spans="1:14" x14ac:dyDescent="0.35">
      <c r="A7">
        <v>13507</v>
      </c>
      <c r="B7" t="s">
        <v>36</v>
      </c>
      <c r="C7" t="s">
        <v>39</v>
      </c>
      <c r="D7" s="3">
        <v>10000</v>
      </c>
      <c r="E7">
        <v>2</v>
      </c>
      <c r="F7" t="s">
        <v>19</v>
      </c>
      <c r="G7" t="s">
        <v>25</v>
      </c>
      <c r="H7" t="s">
        <v>15</v>
      </c>
      <c r="I7">
        <v>0</v>
      </c>
      <c r="J7" t="s">
        <v>26</v>
      </c>
      <c r="K7" t="s">
        <v>17</v>
      </c>
      <c r="L7">
        <v>50</v>
      </c>
      <c r="M7" t="str">
        <f t="shared" si="0"/>
        <v>Middle Aged</v>
      </c>
      <c r="N7" t="s">
        <v>18</v>
      </c>
    </row>
    <row r="8" spans="1:14" x14ac:dyDescent="0.35">
      <c r="A8">
        <v>27974</v>
      </c>
      <c r="B8" t="s">
        <v>37</v>
      </c>
      <c r="C8" t="s">
        <v>38</v>
      </c>
      <c r="D8" s="3">
        <v>160000</v>
      </c>
      <c r="E8">
        <v>2</v>
      </c>
      <c r="F8" t="s">
        <v>27</v>
      </c>
      <c r="G8" t="s">
        <v>28</v>
      </c>
      <c r="H8" t="s">
        <v>15</v>
      </c>
      <c r="I8">
        <v>4</v>
      </c>
      <c r="J8" t="s">
        <v>16</v>
      </c>
      <c r="K8" t="s">
        <v>24</v>
      </c>
      <c r="L8">
        <v>33</v>
      </c>
      <c r="M8" t="str">
        <f t="shared" si="0"/>
        <v>Middle Aged</v>
      </c>
      <c r="N8" t="s">
        <v>15</v>
      </c>
    </row>
    <row r="9" spans="1:14" x14ac:dyDescent="0.35">
      <c r="A9">
        <v>19364</v>
      </c>
      <c r="B9" t="s">
        <v>36</v>
      </c>
      <c r="C9" t="s">
        <v>38</v>
      </c>
      <c r="D9" s="3">
        <v>40000</v>
      </c>
      <c r="E9">
        <v>1</v>
      </c>
      <c r="F9" t="s">
        <v>13</v>
      </c>
      <c r="G9" t="s">
        <v>14</v>
      </c>
      <c r="H9" t="s">
        <v>15</v>
      </c>
      <c r="I9">
        <v>0</v>
      </c>
      <c r="J9" t="s">
        <v>16</v>
      </c>
      <c r="K9" t="s">
        <v>17</v>
      </c>
      <c r="L9">
        <v>43</v>
      </c>
      <c r="M9" t="str">
        <f t="shared" si="0"/>
        <v>Middle Aged</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Aged</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Middle Aged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Middle Aged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Aged</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Invalid</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Aged</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Aged</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Aged</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IF(L67&gt;55,"Old",IF(L67&gt;31,"Middle Aged",IF(L67&lt;31,"Adolescent","Invalid")))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Aged</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Invalid</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Middle Aged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Invalid</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Aged",IF(L131&lt;31,"Adolescent","Invalid")))</f>
        <v>Middle Aged</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Middle Aged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Aged</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Aged</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Middle Aged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Middle Aged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Aged</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Middle Aged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IF(L195&gt;55,"Old",IF(L195&gt;31,"Middle Aged",IF(L195&lt;31,"Adolescent","Invalid")))</f>
        <v>Middle Aged</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Aged</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Invalid</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Invalid</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Aged</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Aged</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Aged</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Aged</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Middle Aged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Invalid</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Aged",IF(L259&lt;31,"Adolescent","Invalid")))</f>
        <v>Middle Aged</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Aged</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Aged</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Aged</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Aged</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Aged",IF(L323&lt;31,"Adolescent","Invalid")))</f>
        <v>Middle Aged</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Aged</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Invalid</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Aged</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Aged</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Aged</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Aged",IF(L387&lt;31,"Adolescent","Invalid")))</f>
        <v>Middle Aged</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Aged</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Aged</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Aged</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Invalid</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Middle Aged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Aged</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Aged</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Aged</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Aged",IF(L451&lt;31,"Adolescent","Invalid")))</f>
        <v>Middle Aged</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Aged</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Aged</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Invalid</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Invalid</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Invalid</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Invalid</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IF(L515&gt;55,"Old",IF(L515&gt;31,"Middle Aged",IF(L515&lt;31,"Adolescent","Invalid")))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Aged</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Middle Aged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Aged</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Invalid</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Middle Aged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Invalid</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Aged",IF(L579&lt;31,"Adolescent","Invalid")))</f>
        <v>Middle Aged</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Aged</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Aged</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Middle Aged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IF(L643&gt;55,"Old",IF(L643&gt;31,"Middle Aged",IF(L643&lt;31,"Adolescent","Invalid")))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Aged</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Invalid</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Invalid</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Invalid</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Invalid</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IF(L707&gt;55,"Old",IF(L707&gt;31,"Middle Aged",IF(L707&lt;31,"Adolescent","Invalid")))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Invalid</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Middle Aged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Aged</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Aged",IF(L771&lt;31,"Adolescent","Invalid")))</f>
        <v>Middle Aged</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Middle Aged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Aged</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Middle Aged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Invalid</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Invalid</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Aged</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Aged",IF(L835&lt;31,"Adolescent","Invalid")))</f>
        <v>Middle Aged</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Aged</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Invalid</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Invalid</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Middle Aged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Middle Aged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Aged",IF(L899&lt;31,"Adolescent","Invalid")))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Aged</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Aged</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Aged</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26" si="15">IF(L963&gt;55,"Old",IF(L963&gt;31,"Middle Aged",IF(L963&lt;31,"Adolescent","Invalid")))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Middle Aged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Invalid</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Invalid</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Aged</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Aged</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Aged</v>
      </c>
      <c r="N1001" t="s">
        <v>15</v>
      </c>
    </row>
    <row r="1002" spans="1:14" x14ac:dyDescent="0.35">
      <c r="A1002">
        <v>13507</v>
      </c>
      <c r="B1002" t="s">
        <v>36</v>
      </c>
      <c r="C1002" t="s">
        <v>39</v>
      </c>
      <c r="D1002" s="3">
        <v>10000</v>
      </c>
      <c r="E1002">
        <v>2</v>
      </c>
      <c r="F1002" t="s">
        <v>19</v>
      </c>
      <c r="G1002" t="s">
        <v>25</v>
      </c>
      <c r="H1002" t="s">
        <v>15</v>
      </c>
      <c r="I1002">
        <v>0</v>
      </c>
      <c r="J1002" t="s">
        <v>26</v>
      </c>
      <c r="K1002" t="s">
        <v>17</v>
      </c>
      <c r="L1002">
        <v>50</v>
      </c>
      <c r="M1002" t="str">
        <f t="shared" si="15"/>
        <v>Middle Aged</v>
      </c>
      <c r="N1002" t="s">
        <v>18</v>
      </c>
    </row>
    <row r="1003" spans="1:14" x14ac:dyDescent="0.35">
      <c r="A1003">
        <v>19280</v>
      </c>
      <c r="B1003" t="s">
        <v>36</v>
      </c>
      <c r="C1003" t="s">
        <v>38</v>
      </c>
      <c r="D1003" s="3">
        <v>120000</v>
      </c>
      <c r="E1003">
        <v>2</v>
      </c>
      <c r="F1003" t="s">
        <v>19</v>
      </c>
      <c r="G1003" t="s">
        <v>25</v>
      </c>
      <c r="H1003" t="s">
        <v>15</v>
      </c>
      <c r="I1003">
        <v>1</v>
      </c>
      <c r="J1003" t="s">
        <v>16</v>
      </c>
      <c r="K1003" t="s">
        <v>17</v>
      </c>
      <c r="L1003">
        <v>40</v>
      </c>
      <c r="M1003" t="str">
        <f t="shared" si="15"/>
        <v>Middle Aged</v>
      </c>
      <c r="N1003" t="s">
        <v>15</v>
      </c>
    </row>
    <row r="1004" spans="1:14" x14ac:dyDescent="0.35">
      <c r="A1004">
        <v>22173</v>
      </c>
      <c r="B1004" t="s">
        <v>36</v>
      </c>
      <c r="C1004" t="s">
        <v>39</v>
      </c>
      <c r="D1004" s="3">
        <v>30000</v>
      </c>
      <c r="E1004">
        <v>3</v>
      </c>
      <c r="F1004" t="s">
        <v>27</v>
      </c>
      <c r="G1004" t="s">
        <v>14</v>
      </c>
      <c r="H1004" t="s">
        <v>18</v>
      </c>
      <c r="I1004">
        <v>2</v>
      </c>
      <c r="J1004" t="s">
        <v>26</v>
      </c>
      <c r="K1004" t="s">
        <v>24</v>
      </c>
      <c r="L1004">
        <v>54</v>
      </c>
      <c r="M1004" t="str">
        <f t="shared" si="15"/>
        <v>Middle Aged</v>
      </c>
      <c r="N1004" t="s">
        <v>15</v>
      </c>
    </row>
    <row r="1005" spans="1:14" x14ac:dyDescent="0.35">
      <c r="A1005">
        <v>12697</v>
      </c>
      <c r="B1005" t="s">
        <v>37</v>
      </c>
      <c r="C1005" t="s">
        <v>39</v>
      </c>
      <c r="D1005" s="3">
        <v>90000</v>
      </c>
      <c r="E1005">
        <v>0</v>
      </c>
      <c r="F1005" t="s">
        <v>13</v>
      </c>
      <c r="G1005" t="s">
        <v>21</v>
      </c>
      <c r="H1005" t="s">
        <v>18</v>
      </c>
      <c r="I1005">
        <v>4</v>
      </c>
      <c r="J1005" t="s">
        <v>46</v>
      </c>
      <c r="K1005" t="s">
        <v>24</v>
      </c>
      <c r="L1005">
        <v>36</v>
      </c>
      <c r="M1005" t="str">
        <f t="shared" si="15"/>
        <v>Middle Aged</v>
      </c>
      <c r="N1005" t="s">
        <v>18</v>
      </c>
    </row>
    <row r="1006" spans="1:14" x14ac:dyDescent="0.35">
      <c r="A1006">
        <v>11434</v>
      </c>
      <c r="B1006" t="s">
        <v>36</v>
      </c>
      <c r="C1006" t="s">
        <v>38</v>
      </c>
      <c r="D1006" s="3">
        <v>170000</v>
      </c>
      <c r="E1006">
        <v>5</v>
      </c>
      <c r="F1006" t="s">
        <v>19</v>
      </c>
      <c r="G1006" t="s">
        <v>21</v>
      </c>
      <c r="H1006" t="s">
        <v>15</v>
      </c>
      <c r="I1006">
        <v>0</v>
      </c>
      <c r="J1006" t="s">
        <v>16</v>
      </c>
      <c r="K1006" t="s">
        <v>17</v>
      </c>
      <c r="L1006">
        <v>55</v>
      </c>
      <c r="M1006" t="str">
        <f t="shared" si="15"/>
        <v>Middle Aged</v>
      </c>
      <c r="N1006" t="s">
        <v>18</v>
      </c>
    </row>
    <row r="1007" spans="1:14" x14ac:dyDescent="0.35">
      <c r="A1007">
        <v>25323</v>
      </c>
      <c r="B1007" t="s">
        <v>36</v>
      </c>
      <c r="C1007" t="s">
        <v>38</v>
      </c>
      <c r="D1007" s="3">
        <v>40000</v>
      </c>
      <c r="E1007">
        <v>2</v>
      </c>
      <c r="F1007" t="s">
        <v>19</v>
      </c>
      <c r="G1007" t="s">
        <v>20</v>
      </c>
      <c r="H1007" t="s">
        <v>15</v>
      </c>
      <c r="I1007">
        <v>1</v>
      </c>
      <c r="J1007" t="s">
        <v>26</v>
      </c>
      <c r="K1007" t="s">
        <v>17</v>
      </c>
      <c r="L1007">
        <v>35</v>
      </c>
      <c r="M1007" t="str">
        <f t="shared" si="15"/>
        <v>Middle Aged</v>
      </c>
      <c r="N1007" t="s">
        <v>15</v>
      </c>
    </row>
    <row r="1008" spans="1:14" x14ac:dyDescent="0.35">
      <c r="A1008">
        <v>23542</v>
      </c>
      <c r="B1008" t="s">
        <v>37</v>
      </c>
      <c r="C1008" t="s">
        <v>38</v>
      </c>
      <c r="D1008" s="3">
        <v>60000</v>
      </c>
      <c r="E1008">
        <v>1</v>
      </c>
      <c r="F1008" t="s">
        <v>19</v>
      </c>
      <c r="G1008" t="s">
        <v>14</v>
      </c>
      <c r="H1008" t="s">
        <v>18</v>
      </c>
      <c r="I1008">
        <v>1</v>
      </c>
      <c r="J1008" t="s">
        <v>16</v>
      </c>
      <c r="K1008" t="s">
        <v>24</v>
      </c>
      <c r="L1008">
        <v>45</v>
      </c>
      <c r="M1008" t="str">
        <f t="shared" si="15"/>
        <v>Middle Aged</v>
      </c>
      <c r="N1008" t="s">
        <v>15</v>
      </c>
    </row>
    <row r="1009" spans="1:14" x14ac:dyDescent="0.35">
      <c r="A1009">
        <v>20870</v>
      </c>
      <c r="B1009" t="s">
        <v>37</v>
      </c>
      <c r="C1009" t="s">
        <v>39</v>
      </c>
      <c r="D1009" s="3">
        <v>10000</v>
      </c>
      <c r="E1009">
        <v>2</v>
      </c>
      <c r="F1009" t="s">
        <v>27</v>
      </c>
      <c r="G1009" t="s">
        <v>25</v>
      </c>
      <c r="H1009" t="s">
        <v>15</v>
      </c>
      <c r="I1009">
        <v>1</v>
      </c>
      <c r="J1009" t="s">
        <v>16</v>
      </c>
      <c r="K1009" t="s">
        <v>17</v>
      </c>
      <c r="L1009">
        <v>38</v>
      </c>
      <c r="M1009" t="str">
        <f t="shared" si="15"/>
        <v>Middle Aged</v>
      </c>
      <c r="N1009" t="s">
        <v>15</v>
      </c>
    </row>
    <row r="1010" spans="1:14" x14ac:dyDescent="0.35">
      <c r="A1010">
        <v>23316</v>
      </c>
      <c r="B1010" t="s">
        <v>37</v>
      </c>
      <c r="C1010" t="s">
        <v>38</v>
      </c>
      <c r="D1010" s="3">
        <v>30000</v>
      </c>
      <c r="E1010">
        <v>3</v>
      </c>
      <c r="F1010" t="s">
        <v>19</v>
      </c>
      <c r="G1010" t="s">
        <v>20</v>
      </c>
      <c r="H1010" t="s">
        <v>18</v>
      </c>
      <c r="I1010">
        <v>2</v>
      </c>
      <c r="J1010" t="s">
        <v>26</v>
      </c>
      <c r="K1010" t="s">
        <v>24</v>
      </c>
      <c r="L1010">
        <v>59</v>
      </c>
      <c r="M1010" t="str">
        <f t="shared" si="15"/>
        <v>Old</v>
      </c>
      <c r="N1010" t="s">
        <v>15</v>
      </c>
    </row>
    <row r="1011" spans="1:14" x14ac:dyDescent="0.35">
      <c r="A1011">
        <v>12610</v>
      </c>
      <c r="B1011" t="s">
        <v>36</v>
      </c>
      <c r="C1011" t="s">
        <v>39</v>
      </c>
      <c r="D1011" s="3">
        <v>30000</v>
      </c>
      <c r="E1011">
        <v>1</v>
      </c>
      <c r="F1011" t="s">
        <v>13</v>
      </c>
      <c r="G1011" t="s">
        <v>20</v>
      </c>
      <c r="H1011" t="s">
        <v>15</v>
      </c>
      <c r="I1011">
        <v>0</v>
      </c>
      <c r="J1011" t="s">
        <v>16</v>
      </c>
      <c r="K1011" t="s">
        <v>17</v>
      </c>
      <c r="L1011">
        <v>47</v>
      </c>
      <c r="M1011" t="str">
        <f t="shared" si="15"/>
        <v>Middle Aged</v>
      </c>
      <c r="N1011" t="s">
        <v>18</v>
      </c>
    </row>
    <row r="1012" spans="1:14" x14ac:dyDescent="0.35">
      <c r="A1012">
        <v>27183</v>
      </c>
      <c r="B1012" t="s">
        <v>37</v>
      </c>
      <c r="C1012" t="s">
        <v>38</v>
      </c>
      <c r="D1012" s="3">
        <v>40000</v>
      </c>
      <c r="E1012">
        <v>2</v>
      </c>
      <c r="F1012" t="s">
        <v>19</v>
      </c>
      <c r="G1012" t="s">
        <v>20</v>
      </c>
      <c r="H1012" t="s">
        <v>15</v>
      </c>
      <c r="I1012">
        <v>1</v>
      </c>
      <c r="J1012" t="s">
        <v>26</v>
      </c>
      <c r="K1012" t="s">
        <v>17</v>
      </c>
      <c r="L1012">
        <v>35</v>
      </c>
      <c r="M1012" t="str">
        <f t="shared" si="15"/>
        <v>Middle Aged</v>
      </c>
      <c r="N1012" t="s">
        <v>15</v>
      </c>
    </row>
    <row r="1013" spans="1:14" x14ac:dyDescent="0.35">
      <c r="A1013">
        <v>25940</v>
      </c>
      <c r="B1013" t="s">
        <v>37</v>
      </c>
      <c r="C1013" t="s">
        <v>38</v>
      </c>
      <c r="D1013" s="3">
        <v>20000</v>
      </c>
      <c r="E1013">
        <v>2</v>
      </c>
      <c r="F1013" t="s">
        <v>29</v>
      </c>
      <c r="G1013" t="s">
        <v>20</v>
      </c>
      <c r="H1013" t="s">
        <v>15</v>
      </c>
      <c r="I1013">
        <v>2</v>
      </c>
      <c r="J1013" t="s">
        <v>23</v>
      </c>
      <c r="K1013" t="s">
        <v>24</v>
      </c>
      <c r="L1013">
        <v>55</v>
      </c>
      <c r="M1013" t="str">
        <f t="shared" si="15"/>
        <v>Middle Aged</v>
      </c>
      <c r="N1013" t="s">
        <v>15</v>
      </c>
    </row>
    <row r="1014" spans="1:14" x14ac:dyDescent="0.35">
      <c r="A1014">
        <v>25598</v>
      </c>
      <c r="B1014" t="s">
        <v>36</v>
      </c>
      <c r="C1014" t="s">
        <v>39</v>
      </c>
      <c r="D1014" s="3">
        <v>40000</v>
      </c>
      <c r="E1014">
        <v>0</v>
      </c>
      <c r="F1014" t="s">
        <v>31</v>
      </c>
      <c r="G1014" t="s">
        <v>20</v>
      </c>
      <c r="H1014" t="s">
        <v>15</v>
      </c>
      <c r="I1014">
        <v>0</v>
      </c>
      <c r="J1014" t="s">
        <v>16</v>
      </c>
      <c r="K1014" t="s">
        <v>17</v>
      </c>
      <c r="L1014">
        <v>36</v>
      </c>
      <c r="M1014" t="str">
        <f t="shared" si="15"/>
        <v>Middle Aged</v>
      </c>
      <c r="N1014" t="s">
        <v>15</v>
      </c>
    </row>
    <row r="1015" spans="1:14" x14ac:dyDescent="0.35">
      <c r="A1015">
        <v>21564</v>
      </c>
      <c r="B1015" t="s">
        <v>37</v>
      </c>
      <c r="C1015" t="s">
        <v>39</v>
      </c>
      <c r="D1015" s="3">
        <v>80000</v>
      </c>
      <c r="E1015">
        <v>0</v>
      </c>
      <c r="F1015" t="s">
        <v>13</v>
      </c>
      <c r="G1015" t="s">
        <v>21</v>
      </c>
      <c r="H1015" t="s">
        <v>15</v>
      </c>
      <c r="I1015">
        <v>4</v>
      </c>
      <c r="J1015" t="s">
        <v>46</v>
      </c>
      <c r="K1015" t="s">
        <v>24</v>
      </c>
      <c r="L1015">
        <v>35</v>
      </c>
      <c r="M1015" t="str">
        <f t="shared" si="15"/>
        <v>Middle Aged</v>
      </c>
      <c r="N1015" t="s">
        <v>18</v>
      </c>
    </row>
    <row r="1016" spans="1:14" x14ac:dyDescent="0.35">
      <c r="A1016">
        <v>19193</v>
      </c>
      <c r="B1016" t="s">
        <v>37</v>
      </c>
      <c r="C1016" t="s">
        <v>38</v>
      </c>
      <c r="D1016" s="3">
        <v>40000</v>
      </c>
      <c r="E1016">
        <v>2</v>
      </c>
      <c r="F1016" t="s">
        <v>19</v>
      </c>
      <c r="G1016" t="s">
        <v>20</v>
      </c>
      <c r="H1016" t="s">
        <v>15</v>
      </c>
      <c r="I1016">
        <v>0</v>
      </c>
      <c r="J1016" t="s">
        <v>26</v>
      </c>
      <c r="K1016" t="s">
        <v>17</v>
      </c>
      <c r="L1016">
        <v>35</v>
      </c>
      <c r="M1016" t="str">
        <f t="shared" si="15"/>
        <v>Middle Aged</v>
      </c>
      <c r="N1016" t="s">
        <v>15</v>
      </c>
    </row>
    <row r="1017" spans="1:14" x14ac:dyDescent="0.35">
      <c r="A1017">
        <v>26412</v>
      </c>
      <c r="B1017" t="s">
        <v>36</v>
      </c>
      <c r="C1017" t="s">
        <v>39</v>
      </c>
      <c r="D1017" s="3">
        <v>80000</v>
      </c>
      <c r="E1017">
        <v>5</v>
      </c>
      <c r="F1017" t="s">
        <v>27</v>
      </c>
      <c r="G1017" t="s">
        <v>28</v>
      </c>
      <c r="H1017" t="s">
        <v>18</v>
      </c>
      <c r="I1017">
        <v>3</v>
      </c>
      <c r="J1017" t="s">
        <v>23</v>
      </c>
      <c r="K1017" t="s">
        <v>17</v>
      </c>
      <c r="L1017">
        <v>56</v>
      </c>
      <c r="M1017" t="str">
        <f t="shared" si="15"/>
        <v>Old</v>
      </c>
      <c r="N1017" t="s">
        <v>18</v>
      </c>
    </row>
    <row r="1018" spans="1:14" x14ac:dyDescent="0.35">
      <c r="A1018">
        <v>27184</v>
      </c>
      <c r="B1018" t="s">
        <v>37</v>
      </c>
      <c r="C1018" t="s">
        <v>38</v>
      </c>
      <c r="D1018" s="3">
        <v>40000</v>
      </c>
      <c r="E1018">
        <v>2</v>
      </c>
      <c r="F1018" t="s">
        <v>19</v>
      </c>
      <c r="G1018" t="s">
        <v>20</v>
      </c>
      <c r="H1018" t="s">
        <v>18</v>
      </c>
      <c r="I1018">
        <v>1</v>
      </c>
      <c r="J1018" t="s">
        <v>16</v>
      </c>
      <c r="K1018" t="s">
        <v>17</v>
      </c>
      <c r="L1018">
        <v>34</v>
      </c>
      <c r="M1018" t="str">
        <f t="shared" si="15"/>
        <v>Middle Aged</v>
      </c>
      <c r="N1018" t="s">
        <v>18</v>
      </c>
    </row>
    <row r="1019" spans="1:14" x14ac:dyDescent="0.35">
      <c r="A1019">
        <v>12590</v>
      </c>
      <c r="B1019" t="s">
        <v>37</v>
      </c>
      <c r="C1019" t="s">
        <v>38</v>
      </c>
      <c r="D1019" s="3">
        <v>30000</v>
      </c>
      <c r="E1019">
        <v>1</v>
      </c>
      <c r="F1019" t="s">
        <v>13</v>
      </c>
      <c r="G1019" t="s">
        <v>20</v>
      </c>
      <c r="H1019" t="s">
        <v>15</v>
      </c>
      <c r="I1019">
        <v>0</v>
      </c>
      <c r="J1019" t="s">
        <v>16</v>
      </c>
      <c r="K1019" t="s">
        <v>17</v>
      </c>
      <c r="L1019">
        <v>63</v>
      </c>
      <c r="M1019" t="str">
        <f t="shared" si="15"/>
        <v>Old</v>
      </c>
      <c r="N1019" t="s">
        <v>18</v>
      </c>
    </row>
    <row r="1020" spans="1:14" x14ac:dyDescent="0.35">
      <c r="A1020">
        <v>17841</v>
      </c>
      <c r="B1020" t="s">
        <v>37</v>
      </c>
      <c r="C1020" t="s">
        <v>38</v>
      </c>
      <c r="D1020" s="3">
        <v>30000</v>
      </c>
      <c r="E1020">
        <v>0</v>
      </c>
      <c r="F1020" t="s">
        <v>19</v>
      </c>
      <c r="G1020" t="s">
        <v>20</v>
      </c>
      <c r="H1020" t="s">
        <v>18</v>
      </c>
      <c r="I1020">
        <v>1</v>
      </c>
      <c r="J1020" t="s">
        <v>16</v>
      </c>
      <c r="K1020" t="s">
        <v>17</v>
      </c>
      <c r="L1020">
        <v>29</v>
      </c>
      <c r="M1020" t="str">
        <f t="shared" si="15"/>
        <v>Adolescent</v>
      </c>
      <c r="N1020" t="s">
        <v>15</v>
      </c>
    </row>
    <row r="1021" spans="1:14" x14ac:dyDescent="0.35">
      <c r="A1021">
        <v>18283</v>
      </c>
      <c r="B1021" t="s">
        <v>37</v>
      </c>
      <c r="C1021" t="s">
        <v>39</v>
      </c>
      <c r="D1021" s="3">
        <v>100000</v>
      </c>
      <c r="E1021">
        <v>0</v>
      </c>
      <c r="F1021" t="s">
        <v>13</v>
      </c>
      <c r="G1021" t="s">
        <v>21</v>
      </c>
      <c r="H1021" t="s">
        <v>18</v>
      </c>
      <c r="I1021">
        <v>1</v>
      </c>
      <c r="J1021" t="s">
        <v>23</v>
      </c>
      <c r="K1021" t="s">
        <v>24</v>
      </c>
      <c r="L1021">
        <v>40</v>
      </c>
      <c r="M1021" t="str">
        <f t="shared" si="15"/>
        <v>Middle Aged</v>
      </c>
      <c r="N1021" t="s">
        <v>18</v>
      </c>
    </row>
    <row r="1022" spans="1:14" x14ac:dyDescent="0.35">
      <c r="A1022">
        <v>18299</v>
      </c>
      <c r="B1022" t="s">
        <v>36</v>
      </c>
      <c r="C1022" t="s">
        <v>38</v>
      </c>
      <c r="D1022" s="3">
        <v>70000</v>
      </c>
      <c r="E1022">
        <v>5</v>
      </c>
      <c r="F1022" t="s">
        <v>19</v>
      </c>
      <c r="G1022" t="s">
        <v>14</v>
      </c>
      <c r="H1022" t="s">
        <v>15</v>
      </c>
      <c r="I1022">
        <v>2</v>
      </c>
      <c r="J1022" t="s">
        <v>23</v>
      </c>
      <c r="K1022" t="s">
        <v>24</v>
      </c>
      <c r="L1022">
        <v>44</v>
      </c>
      <c r="M1022" t="str">
        <f t="shared" si="15"/>
        <v>Middle Aged</v>
      </c>
      <c r="N1022" t="s">
        <v>18</v>
      </c>
    </row>
    <row r="1023" spans="1:14" x14ac:dyDescent="0.35">
      <c r="A1023">
        <v>16466</v>
      </c>
      <c r="B1023" t="s">
        <v>37</v>
      </c>
      <c r="C1023" t="s">
        <v>39</v>
      </c>
      <c r="D1023" s="3">
        <v>20000</v>
      </c>
      <c r="E1023">
        <v>0</v>
      </c>
      <c r="F1023" t="s">
        <v>29</v>
      </c>
      <c r="G1023" t="s">
        <v>25</v>
      </c>
      <c r="H1023" t="s">
        <v>18</v>
      </c>
      <c r="I1023">
        <v>2</v>
      </c>
      <c r="J1023" t="s">
        <v>16</v>
      </c>
      <c r="K1023" t="s">
        <v>17</v>
      </c>
      <c r="L1023">
        <v>32</v>
      </c>
      <c r="M1023" t="str">
        <f t="shared" si="15"/>
        <v>Middle Aged</v>
      </c>
      <c r="N1023" t="s">
        <v>15</v>
      </c>
    </row>
    <row r="1024" spans="1:14" x14ac:dyDescent="0.35">
      <c r="A1024">
        <v>19273</v>
      </c>
      <c r="B1024" t="s">
        <v>36</v>
      </c>
      <c r="C1024" t="s">
        <v>39</v>
      </c>
      <c r="D1024" s="3">
        <v>20000</v>
      </c>
      <c r="E1024">
        <v>2</v>
      </c>
      <c r="F1024" t="s">
        <v>19</v>
      </c>
      <c r="G1024" t="s">
        <v>25</v>
      </c>
      <c r="H1024" t="s">
        <v>15</v>
      </c>
      <c r="I1024">
        <v>0</v>
      </c>
      <c r="J1024" t="s">
        <v>16</v>
      </c>
      <c r="K1024" t="s">
        <v>17</v>
      </c>
      <c r="L1024">
        <v>63</v>
      </c>
      <c r="M1024" t="str">
        <f t="shared" si="15"/>
        <v>Old</v>
      </c>
      <c r="N1024" t="s">
        <v>18</v>
      </c>
    </row>
    <row r="1025" spans="1:14" x14ac:dyDescent="0.35">
      <c r="A1025">
        <v>22400</v>
      </c>
      <c r="B1025" t="s">
        <v>36</v>
      </c>
      <c r="C1025" t="s">
        <v>38</v>
      </c>
      <c r="D1025" s="3">
        <v>10000</v>
      </c>
      <c r="E1025">
        <v>0</v>
      </c>
      <c r="F1025" t="s">
        <v>19</v>
      </c>
      <c r="G1025" t="s">
        <v>25</v>
      </c>
      <c r="H1025" t="s">
        <v>18</v>
      </c>
      <c r="I1025">
        <v>1</v>
      </c>
      <c r="J1025" t="s">
        <v>16</v>
      </c>
      <c r="K1025" t="s">
        <v>24</v>
      </c>
      <c r="L1025">
        <v>26</v>
      </c>
      <c r="M1025" t="str">
        <f t="shared" si="15"/>
        <v>Adolescent</v>
      </c>
      <c r="N1025" t="s">
        <v>15</v>
      </c>
    </row>
    <row r="1026" spans="1:14" x14ac:dyDescent="0.35">
      <c r="A1026">
        <v>20942</v>
      </c>
      <c r="B1026" t="s">
        <v>37</v>
      </c>
      <c r="C1026" t="s">
        <v>39</v>
      </c>
      <c r="D1026" s="3">
        <v>20000</v>
      </c>
      <c r="E1026">
        <v>0</v>
      </c>
      <c r="F1026" t="s">
        <v>27</v>
      </c>
      <c r="G1026" t="s">
        <v>25</v>
      </c>
      <c r="H1026" t="s">
        <v>18</v>
      </c>
      <c r="I1026">
        <v>1</v>
      </c>
      <c r="J1026" t="s">
        <v>23</v>
      </c>
      <c r="K1026" t="s">
        <v>17</v>
      </c>
      <c r="L1026">
        <v>31</v>
      </c>
      <c r="M1026" t="str">
        <f t="shared" si="15"/>
        <v>Invalid</v>
      </c>
      <c r="N1026" t="s">
        <v>18</v>
      </c>
    </row>
    <row r="1027" spans="1:14" x14ac:dyDescent="0.35">
      <c r="A1027">
        <v>18484</v>
      </c>
      <c r="B1027" t="s">
        <v>37</v>
      </c>
      <c r="C1027" t="s">
        <v>38</v>
      </c>
      <c r="D1027" s="3">
        <v>80000</v>
      </c>
      <c r="E1027">
        <v>2</v>
      </c>
      <c r="F1027" t="s">
        <v>27</v>
      </c>
      <c r="G1027" t="s">
        <v>14</v>
      </c>
      <c r="H1027" t="s">
        <v>18</v>
      </c>
      <c r="I1027">
        <v>2</v>
      </c>
      <c r="J1027" t="s">
        <v>26</v>
      </c>
      <c r="K1027" t="s">
        <v>24</v>
      </c>
      <c r="L1027">
        <v>50</v>
      </c>
      <c r="M1027" t="str">
        <f t="shared" ref="M1027" si="16">IF(L1027&gt;55,"Old",IF(L1027&gt;31,"Middle Aged",IF(L1027&lt;31,"Adolescent","Invalid")))</f>
        <v>Middle Aged</v>
      </c>
      <c r="N1027" t="s">
        <v>15</v>
      </c>
    </row>
  </sheetData>
  <autoFilter ref="A1:N102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7"/>
  <sheetViews>
    <sheetView topLeftCell="A40" workbookViewId="0">
      <selection activeCell="E69" sqref="E69:F69"/>
    </sheetView>
  </sheetViews>
  <sheetFormatPr defaultRowHeight="14.5" x14ac:dyDescent="0.35"/>
  <cols>
    <col min="1" max="1" width="12.36328125" customWidth="1"/>
    <col min="2" max="2" width="15.26953125" bestFit="1" customWidth="1"/>
    <col min="3" max="3" width="3.6328125" customWidth="1"/>
    <col min="4" max="4" width="10.7265625" customWidth="1"/>
  </cols>
  <sheetData>
    <row r="1" spans="1:4" x14ac:dyDescent="0.35">
      <c r="A1" s="5" t="s">
        <v>43</v>
      </c>
      <c r="B1" s="5" t="s">
        <v>44</v>
      </c>
    </row>
    <row r="2" spans="1:4" x14ac:dyDescent="0.35">
      <c r="A2" s="5" t="s">
        <v>41</v>
      </c>
      <c r="B2" t="s">
        <v>18</v>
      </c>
      <c r="C2" t="s">
        <v>15</v>
      </c>
      <c r="D2" t="s">
        <v>42</v>
      </c>
    </row>
    <row r="3" spans="1:4" x14ac:dyDescent="0.35">
      <c r="A3" s="6" t="s">
        <v>39</v>
      </c>
      <c r="B3" s="7">
        <v>48125</v>
      </c>
      <c r="C3" s="7">
        <v>50000</v>
      </c>
      <c r="D3" s="7">
        <v>48421.052631578947</v>
      </c>
    </row>
    <row r="4" spans="1:4" x14ac:dyDescent="0.35">
      <c r="A4" s="6" t="s">
        <v>38</v>
      </c>
      <c r="B4" s="7">
        <v>46000</v>
      </c>
      <c r="C4" s="7">
        <v>53750</v>
      </c>
      <c r="D4" s="7">
        <v>49024.390243902439</v>
      </c>
    </row>
    <row r="5" spans="1:4" x14ac:dyDescent="0.35">
      <c r="A5" s="6" t="s">
        <v>42</v>
      </c>
      <c r="B5" s="7">
        <v>46829.268292682929</v>
      </c>
      <c r="C5" s="7">
        <v>53157.894736842107</v>
      </c>
      <c r="D5" s="7">
        <v>48833.333333333336</v>
      </c>
    </row>
    <row r="24" spans="1:4" x14ac:dyDescent="0.35">
      <c r="A24" s="5" t="s">
        <v>45</v>
      </c>
      <c r="B24" s="5" t="s">
        <v>44</v>
      </c>
    </row>
    <row r="25" spans="1:4" x14ac:dyDescent="0.35">
      <c r="A25" s="5" t="s">
        <v>41</v>
      </c>
      <c r="B25" t="s">
        <v>18</v>
      </c>
      <c r="C25" t="s">
        <v>15</v>
      </c>
      <c r="D25" t="s">
        <v>42</v>
      </c>
    </row>
    <row r="26" spans="1:4" x14ac:dyDescent="0.35">
      <c r="A26" s="6" t="s">
        <v>16</v>
      </c>
      <c r="B26" s="4">
        <v>2</v>
      </c>
      <c r="C26" s="4">
        <v>2</v>
      </c>
      <c r="D26" s="4">
        <v>4</v>
      </c>
    </row>
    <row r="27" spans="1:4" x14ac:dyDescent="0.35">
      <c r="A27" s="6" t="s">
        <v>26</v>
      </c>
      <c r="B27" s="4">
        <v>9</v>
      </c>
      <c r="C27" s="4">
        <v>5</v>
      </c>
      <c r="D27" s="4">
        <v>14</v>
      </c>
    </row>
    <row r="28" spans="1:4" x14ac:dyDescent="0.35">
      <c r="A28" s="6" t="s">
        <v>22</v>
      </c>
      <c r="B28" s="4">
        <v>7</v>
      </c>
      <c r="C28" s="4">
        <v>4</v>
      </c>
      <c r="D28" s="4">
        <v>11</v>
      </c>
    </row>
    <row r="29" spans="1:4" x14ac:dyDescent="0.35">
      <c r="A29" s="6" t="s">
        <v>23</v>
      </c>
      <c r="B29" s="4">
        <v>16</v>
      </c>
      <c r="C29" s="4">
        <v>6</v>
      </c>
      <c r="D29" s="4">
        <v>22</v>
      </c>
    </row>
    <row r="30" spans="1:4" x14ac:dyDescent="0.35">
      <c r="A30" s="6" t="s">
        <v>46</v>
      </c>
      <c r="B30" s="4">
        <v>7</v>
      </c>
      <c r="C30" s="4">
        <v>2</v>
      </c>
      <c r="D30" s="4">
        <v>9</v>
      </c>
    </row>
    <row r="31" spans="1:4" x14ac:dyDescent="0.35">
      <c r="A31" s="6" t="s">
        <v>42</v>
      </c>
      <c r="B31" s="4">
        <v>41</v>
      </c>
      <c r="C31" s="4">
        <v>19</v>
      </c>
      <c r="D31" s="4">
        <v>60</v>
      </c>
    </row>
    <row r="43" spans="1:4" x14ac:dyDescent="0.35">
      <c r="A43" s="5" t="s">
        <v>45</v>
      </c>
      <c r="B43" s="5" t="s">
        <v>44</v>
      </c>
    </row>
    <row r="44" spans="1:4" x14ac:dyDescent="0.35">
      <c r="A44" s="5" t="s">
        <v>41</v>
      </c>
      <c r="B44" t="s">
        <v>18</v>
      </c>
      <c r="C44" t="s">
        <v>15</v>
      </c>
      <c r="D44" t="s">
        <v>42</v>
      </c>
    </row>
    <row r="45" spans="1:4" x14ac:dyDescent="0.35">
      <c r="A45" s="6" t="s">
        <v>47</v>
      </c>
      <c r="B45" s="4">
        <v>6</v>
      </c>
      <c r="C45" s="4">
        <v>4</v>
      </c>
      <c r="D45" s="4">
        <v>10</v>
      </c>
    </row>
    <row r="46" spans="1:4" x14ac:dyDescent="0.35">
      <c r="A46" s="6" t="s">
        <v>52</v>
      </c>
      <c r="B46" s="4">
        <v>1</v>
      </c>
      <c r="C46" s="4"/>
      <c r="D46" s="4">
        <v>1</v>
      </c>
    </row>
    <row r="47" spans="1:4" x14ac:dyDescent="0.35">
      <c r="A47" s="6" t="s">
        <v>48</v>
      </c>
      <c r="B47" s="4">
        <v>27</v>
      </c>
      <c r="C47" s="4">
        <v>13</v>
      </c>
      <c r="D47" s="4">
        <v>40</v>
      </c>
    </row>
    <row r="48" spans="1:4" x14ac:dyDescent="0.35">
      <c r="A48" s="6" t="s">
        <v>49</v>
      </c>
      <c r="B48" s="4">
        <v>7</v>
      </c>
      <c r="C48" s="4">
        <v>2</v>
      </c>
      <c r="D48" s="4">
        <v>9</v>
      </c>
    </row>
    <row r="49" spans="1:4" x14ac:dyDescent="0.35">
      <c r="A49" s="6" t="s">
        <v>42</v>
      </c>
      <c r="B49" s="4">
        <v>41</v>
      </c>
      <c r="C49" s="4">
        <v>19</v>
      </c>
      <c r="D49" s="4">
        <v>60</v>
      </c>
    </row>
    <row r="71" spans="1:4" x14ac:dyDescent="0.35">
      <c r="A71" s="5" t="s">
        <v>50</v>
      </c>
      <c r="B71" s="5" t="s">
        <v>44</v>
      </c>
    </row>
    <row r="72" spans="1:4" x14ac:dyDescent="0.35">
      <c r="A72" s="5" t="s">
        <v>41</v>
      </c>
      <c r="B72" t="s">
        <v>18</v>
      </c>
      <c r="C72" t="s">
        <v>15</v>
      </c>
      <c r="D72" t="s">
        <v>42</v>
      </c>
    </row>
    <row r="73" spans="1:4" x14ac:dyDescent="0.35">
      <c r="A73" s="6">
        <v>26</v>
      </c>
      <c r="B73" s="4">
        <v>1</v>
      </c>
      <c r="C73" s="4"/>
      <c r="D73" s="4">
        <v>1</v>
      </c>
    </row>
    <row r="74" spans="1:4" x14ac:dyDescent="0.35">
      <c r="A74" s="6">
        <v>27</v>
      </c>
      <c r="B74" s="4">
        <v>3</v>
      </c>
      <c r="C74" s="4">
        <v>1</v>
      </c>
      <c r="D74" s="4">
        <v>4</v>
      </c>
    </row>
    <row r="75" spans="1:4" x14ac:dyDescent="0.35">
      <c r="A75" s="6">
        <v>28</v>
      </c>
      <c r="B75" s="4"/>
      <c r="C75" s="4">
        <v>3</v>
      </c>
      <c r="D75" s="4">
        <v>3</v>
      </c>
    </row>
    <row r="76" spans="1:4" x14ac:dyDescent="0.35">
      <c r="A76" s="6">
        <v>29</v>
      </c>
      <c r="B76" s="4">
        <v>1</v>
      </c>
      <c r="C76" s="4"/>
      <c r="D76" s="4">
        <v>1</v>
      </c>
    </row>
    <row r="77" spans="1:4" x14ac:dyDescent="0.35">
      <c r="A77" s="6">
        <v>30</v>
      </c>
      <c r="B77" s="4">
        <v>1</v>
      </c>
      <c r="C77" s="4"/>
      <c r="D77" s="4">
        <v>1</v>
      </c>
    </row>
    <row r="78" spans="1:4" x14ac:dyDescent="0.35">
      <c r="A78" s="6">
        <v>31</v>
      </c>
      <c r="B78" s="4">
        <v>1</v>
      </c>
      <c r="C78" s="4"/>
      <c r="D78" s="4">
        <v>1</v>
      </c>
    </row>
    <row r="79" spans="1:4" x14ac:dyDescent="0.35">
      <c r="A79" s="6">
        <v>32</v>
      </c>
      <c r="B79" s="4">
        <v>1</v>
      </c>
      <c r="C79" s="4">
        <v>1</v>
      </c>
      <c r="D79" s="4">
        <v>2</v>
      </c>
    </row>
    <row r="80" spans="1:4" x14ac:dyDescent="0.35">
      <c r="A80" s="6">
        <v>43</v>
      </c>
      <c r="B80" s="4">
        <v>1</v>
      </c>
      <c r="C80" s="4"/>
      <c r="D80" s="4">
        <v>1</v>
      </c>
    </row>
    <row r="81" spans="1:4" x14ac:dyDescent="0.35">
      <c r="A81" s="6">
        <v>44</v>
      </c>
      <c r="B81" s="4"/>
      <c r="C81" s="4">
        <v>2</v>
      </c>
      <c r="D81" s="4">
        <v>2</v>
      </c>
    </row>
    <row r="82" spans="1:4" x14ac:dyDescent="0.35">
      <c r="A82" s="6">
        <v>45</v>
      </c>
      <c r="B82" s="4">
        <v>2</v>
      </c>
      <c r="C82" s="4"/>
      <c r="D82" s="4">
        <v>2</v>
      </c>
    </row>
    <row r="83" spans="1:4" x14ac:dyDescent="0.35">
      <c r="A83" s="6">
        <v>46</v>
      </c>
      <c r="B83" s="4">
        <v>1</v>
      </c>
      <c r="C83" s="4">
        <v>1</v>
      </c>
      <c r="D83" s="4">
        <v>2</v>
      </c>
    </row>
    <row r="84" spans="1:4" x14ac:dyDescent="0.35">
      <c r="A84" s="6">
        <v>48</v>
      </c>
      <c r="B84" s="4">
        <v>2</v>
      </c>
      <c r="C84" s="4">
        <v>2</v>
      </c>
      <c r="D84" s="4">
        <v>4</v>
      </c>
    </row>
    <row r="85" spans="1:4" x14ac:dyDescent="0.35">
      <c r="A85" s="6">
        <v>49</v>
      </c>
      <c r="B85" s="4">
        <v>4</v>
      </c>
      <c r="C85" s="4">
        <v>1</v>
      </c>
      <c r="D85" s="4">
        <v>5</v>
      </c>
    </row>
    <row r="86" spans="1:4" x14ac:dyDescent="0.35">
      <c r="A86" s="6">
        <v>50</v>
      </c>
      <c r="B86" s="4">
        <v>4</v>
      </c>
      <c r="C86" s="4"/>
      <c r="D86" s="4">
        <v>4</v>
      </c>
    </row>
    <row r="87" spans="1:4" x14ac:dyDescent="0.35">
      <c r="A87" s="6">
        <v>51</v>
      </c>
      <c r="B87" s="4">
        <v>4</v>
      </c>
      <c r="C87" s="4">
        <v>1</v>
      </c>
      <c r="D87" s="4">
        <v>5</v>
      </c>
    </row>
    <row r="88" spans="1:4" x14ac:dyDescent="0.35">
      <c r="A88" s="6">
        <v>52</v>
      </c>
      <c r="B88" s="4">
        <v>1</v>
      </c>
      <c r="C88" s="4">
        <v>2</v>
      </c>
      <c r="D88" s="4">
        <v>3</v>
      </c>
    </row>
    <row r="89" spans="1:4" x14ac:dyDescent="0.35">
      <c r="A89" s="6">
        <v>53</v>
      </c>
      <c r="B89" s="4">
        <v>5</v>
      </c>
      <c r="C89" s="4">
        <v>1</v>
      </c>
      <c r="D89" s="4">
        <v>6</v>
      </c>
    </row>
    <row r="90" spans="1:4" x14ac:dyDescent="0.35">
      <c r="A90" s="6">
        <v>54</v>
      </c>
      <c r="B90" s="4"/>
      <c r="C90" s="4">
        <v>1</v>
      </c>
      <c r="D90" s="4">
        <v>1</v>
      </c>
    </row>
    <row r="91" spans="1:4" x14ac:dyDescent="0.35">
      <c r="A91" s="6">
        <v>55</v>
      </c>
      <c r="B91" s="4">
        <v>2</v>
      </c>
      <c r="C91" s="4">
        <v>1</v>
      </c>
      <c r="D91" s="4">
        <v>3</v>
      </c>
    </row>
    <row r="92" spans="1:4" x14ac:dyDescent="0.35">
      <c r="A92" s="6">
        <v>59</v>
      </c>
      <c r="B92" s="4">
        <v>1</v>
      </c>
      <c r="C92" s="4">
        <v>1</v>
      </c>
      <c r="D92" s="4">
        <v>2</v>
      </c>
    </row>
    <row r="93" spans="1:4" x14ac:dyDescent="0.35">
      <c r="A93" s="6">
        <v>60</v>
      </c>
      <c r="B93" s="4">
        <v>2</v>
      </c>
      <c r="C93" s="4"/>
      <c r="D93" s="4">
        <v>2</v>
      </c>
    </row>
    <row r="94" spans="1:4" x14ac:dyDescent="0.35">
      <c r="A94" s="6">
        <v>61</v>
      </c>
      <c r="B94" s="4">
        <v>2</v>
      </c>
      <c r="C94" s="4">
        <v>1</v>
      </c>
      <c r="D94" s="4">
        <v>3</v>
      </c>
    </row>
    <row r="95" spans="1:4" x14ac:dyDescent="0.35">
      <c r="A95" s="6">
        <v>64</v>
      </c>
      <c r="B95" s="4">
        <v>1</v>
      </c>
      <c r="C95" s="4"/>
      <c r="D95" s="4">
        <v>1</v>
      </c>
    </row>
    <row r="96" spans="1:4" x14ac:dyDescent="0.35">
      <c r="A96" s="6">
        <v>69</v>
      </c>
      <c r="B96" s="4">
        <v>1</v>
      </c>
      <c r="C96" s="4"/>
      <c r="D96" s="4">
        <v>1</v>
      </c>
    </row>
    <row r="97" spans="1:4" x14ac:dyDescent="0.35">
      <c r="A97" s="6" t="s">
        <v>42</v>
      </c>
      <c r="B97" s="4">
        <v>41</v>
      </c>
      <c r="C97" s="4">
        <v>19</v>
      </c>
      <c r="D97" s="4">
        <v>60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showGridLines="0" tabSelected="1" topLeftCell="A9" zoomScale="117" workbookViewId="0">
      <selection activeCell="S17" sqref="S17"/>
    </sheetView>
  </sheetViews>
  <sheetFormatPr defaultRowHeight="14.5" x14ac:dyDescent="0.35"/>
  <sheetData>
    <row r="1" spans="1:16" ht="14.5" customHeight="1" x14ac:dyDescent="0.35">
      <c r="A1" s="8" t="s">
        <v>51</v>
      </c>
      <c r="B1" s="8"/>
      <c r="C1" s="8"/>
      <c r="D1" s="8"/>
      <c r="E1" s="8"/>
      <c r="F1" s="8"/>
      <c r="G1" s="8"/>
      <c r="H1" s="8"/>
      <c r="I1" s="8"/>
      <c r="J1" s="8"/>
      <c r="K1" s="8"/>
      <c r="L1" s="8"/>
      <c r="M1" s="8"/>
      <c r="N1" s="8"/>
      <c r="O1" s="8"/>
      <c r="P1" s="8"/>
    </row>
    <row r="2" spans="1:16" x14ac:dyDescent="0.35">
      <c r="A2" s="8"/>
      <c r="B2" s="8"/>
      <c r="C2" s="8"/>
      <c r="D2" s="8"/>
      <c r="E2" s="8"/>
      <c r="F2" s="8"/>
      <c r="G2" s="8"/>
      <c r="H2" s="8"/>
      <c r="I2" s="8"/>
      <c r="J2" s="8"/>
      <c r="K2" s="8"/>
      <c r="L2" s="8"/>
      <c r="M2" s="8"/>
      <c r="N2" s="8"/>
      <c r="O2" s="8"/>
      <c r="P2" s="8"/>
    </row>
    <row r="3" spans="1:16" x14ac:dyDescent="0.35">
      <c r="A3" s="8"/>
      <c r="B3" s="8"/>
      <c r="C3" s="8"/>
      <c r="D3" s="8"/>
      <c r="E3" s="8"/>
      <c r="F3" s="8"/>
      <c r="G3" s="8"/>
      <c r="H3" s="8"/>
      <c r="I3" s="8"/>
      <c r="J3" s="8"/>
      <c r="K3" s="8"/>
      <c r="L3" s="8"/>
      <c r="M3" s="8"/>
      <c r="N3" s="8"/>
      <c r="O3" s="8"/>
      <c r="P3" s="8"/>
    </row>
    <row r="4" spans="1:16" x14ac:dyDescent="0.35">
      <c r="A4" s="8"/>
      <c r="B4" s="8"/>
      <c r="C4" s="8"/>
      <c r="D4" s="8"/>
      <c r="E4" s="8"/>
      <c r="F4" s="8"/>
      <c r="G4" s="8"/>
      <c r="H4" s="8"/>
      <c r="I4" s="8"/>
      <c r="J4" s="8"/>
      <c r="K4" s="8"/>
      <c r="L4" s="8"/>
      <c r="M4" s="8"/>
      <c r="N4" s="8"/>
      <c r="O4" s="8"/>
      <c r="P4" s="8"/>
    </row>
    <row r="5" spans="1:16" x14ac:dyDescent="0.35">
      <c r="A5" s="8"/>
      <c r="B5" s="8"/>
      <c r="C5" s="8"/>
      <c r="D5" s="8"/>
      <c r="E5" s="8"/>
      <c r="F5" s="8"/>
      <c r="G5" s="8"/>
      <c r="H5" s="8"/>
      <c r="I5" s="8"/>
      <c r="J5" s="8"/>
      <c r="K5" s="8"/>
      <c r="L5" s="8"/>
      <c r="M5" s="8"/>
      <c r="N5" s="8"/>
      <c r="O5" s="8"/>
      <c r="P5" s="8"/>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Ashwath S</dc:creator>
  <cp:lastModifiedBy>Ashwath S</cp:lastModifiedBy>
  <dcterms:created xsi:type="dcterms:W3CDTF">2022-03-18T02:50:57Z</dcterms:created>
  <dcterms:modified xsi:type="dcterms:W3CDTF">2026-04-07T09:06:10Z</dcterms:modified>
</cp:coreProperties>
</file>